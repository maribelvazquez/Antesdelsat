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dora" sheetId="1" state="visible" r:id="rId3"/>
    <sheet name="Ejempl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<sst xmlns="http://schemas.openxmlformats.org/spreadsheetml/2006/main" count="77" uniqueCount="67">
  <si>
    <t xml:space="preserve">Matriz de sanciones de la LFPIORPI</t>
  </si>
  <si>
    <t xml:space="preserve">Artículo 53 (supuesto) → artículo 54 (multa). GMC360 · 360Educa</t>
  </si>
  <si>
    <t xml:space="preserve">La cita correcta es siempre doble: el 53 dice qué conducta, el 54 dice cuánto cuesta. Citar los importes como si estuvieran en el 53 es el error más extendido del sector.</t>
  </si>
  <si>
    <t xml:space="preserve">PARÁMETROS — edite sólo las celdas azules</t>
  </si>
  <si>
    <t xml:space="preserve">Valor diario de la UMA</t>
  </si>
  <si>
    <t xml:space="preserve">Vigente desde el 1 de febrero de 2026 (INEGI). Se actualiza cada año con efectos al 1 de febrero: cambie aquí y todo el libro se recalcula.</t>
  </si>
  <si>
    <t xml:space="preserve">Valor del acto u operación</t>
  </si>
  <si>
    <t xml:space="preserve">Sólo se usa en el escalón alto (art. 54, fr. III). Deje 0 si el acto no es cuantificable en dinero.</t>
  </si>
  <si>
    <t xml:space="preserve">Número de operaciones con la misma falta</t>
  </si>
  <si>
    <t xml:space="preserve">Cada infracción se individualiza por separado (art. 60). Este multiplicador es una proyección, no una regla de la Ley.</t>
  </si>
  <si>
    <t xml:space="preserve">PUNTO DE CRUCE: valor a partir del cual gana el porcentaje</t>
  </si>
  <si>
    <t xml:space="preserve">Por debajo de esta cifra, el techo de 65,000 UMA es mayor que el 100% del valor y la multa se calcula en UMA. Por encima, manda el porcentaje. Es el número que conviene tener presente: no es un porcentaje lo que se aplica siempre, ni una UMA lo que se aplica siempre.</t>
  </si>
  <si>
    <t xml:space="preserve">Supuesto (art. 53)</t>
  </si>
  <si>
    <t xml:space="preserve">Conducta, en el texto de la Ley</t>
  </si>
  <si>
    <t xml:space="preserve">Multa (art. 54)</t>
  </si>
  <si>
    <t xml:space="preserve">Piso en UMA</t>
  </si>
  <si>
    <t xml:space="preserve">Techo en UMA</t>
  </si>
  <si>
    <t xml:space="preserve">Piso en pesos</t>
  </si>
  <si>
    <t xml:space="preserve">Techo en pesos</t>
  </si>
  <si>
    <t xml:space="preserve">Alternativa del 10% al 100% del valor</t>
  </si>
  <si>
    <t xml:space="preserve">Lo que se aplica: la que resulte mayor</t>
  </si>
  <si>
    <t xml:space="preserve">53, fr. I</t>
  </si>
  <si>
    <t xml:space="preserve">Se abstengan de cumplir con los requerimientos que les formule la Secretaría en términos de esta Ley</t>
  </si>
  <si>
    <t xml:space="preserve">54, fr. I</t>
  </si>
  <si>
    <t xml:space="preserve">No aplica</t>
  </si>
  <si>
    <t xml:space="preserve">53, fr. II</t>
  </si>
  <si>
    <t xml:space="preserve">Incumplan con cualquiera de las obligaciones establecidas en el artículo 18 de esta Ley (identificación del Cliente, Beneficiario Controlador, expediente, Manual de Políticas Internas, persona Representante, conservación, capacitación, Informes)</t>
  </si>
  <si>
    <t xml:space="preserve">53, fr. III</t>
  </si>
  <si>
    <t xml:space="preserve">Incumplan con la obligación de presentar en tiempo los Avisos del artículo 17 — extemporaneidad de hasta 30 días</t>
  </si>
  <si>
    <t xml:space="preserve">53, fr. III, 2º pá.</t>
  </si>
  <si>
    <t xml:space="preserve">Extemporaneidad que excede los 30 días. La Ley remite literalmente a «la sanción prevista para el caso de omisión en el artículo 54, fracción II»</t>
  </si>
  <si>
    <t xml:space="preserve">54, fr. II</t>
  </si>
  <si>
    <t xml:space="preserve">53, fr. IV</t>
  </si>
  <si>
    <t xml:space="preserve">Incumplan con la obligación de presentar los Avisos sin reunir los requisitos del artículo 24 de esta Ley</t>
  </si>
  <si>
    <t xml:space="preserve">53, fr. V</t>
  </si>
  <si>
    <t xml:space="preserve">Incumplan con las obligaciones que imponen los artículos 33, 33 Bis y 33 Ter de esta Ley (Beneficiario Controlador de sociedades mercantiles)</t>
  </si>
  <si>
    <t xml:space="preserve">53, fr. VI</t>
  </si>
  <si>
    <t xml:space="preserve">Omitan presentar los Avisos a que se refiere el artículo 17 de esta Ley</t>
  </si>
  <si>
    <t xml:space="preserve">54, fr. III</t>
  </si>
  <si>
    <t xml:space="preserve">53, fr. VII</t>
  </si>
  <si>
    <t xml:space="preserve">Participen en cualquiera de los actos u operaciones prohibidos por el artículo 32 de esta Ley (uso de efectivo por encima de los límites)</t>
  </si>
  <si>
    <t xml:space="preserve">Cómo se lee esta tabla</t>
  </si>
  <si>
    <t xml:space="preserve">El artículo 53 enumera los supuestos; el artículo 54 fija la multa de cada uno. Fracciones I a IV del 53 → fracción I del 54. Fracción V del 53 → fracción II del 54. Fracciones VI y VII del 53 → fracción III del 54.</t>
  </si>
  <si>
    <t xml:space="preserve">El escalón alto tiene dos alternativas y se aplica «la que resulte mayor»: de diez mil a sesenta y cinco mil veces la UMA, o del diez al cien por ciento del valor del acto u operación cuando sea cuantificable en dinero. En operaciones de cierto tamaño el porcentaje se come a la UMA, y es ahí donde una sola omisión puede costar más que todas las demás multas juntas.</t>
  </si>
  <si>
    <t xml:space="preserve">Los Informes no se sancionan por la vía de los Avisos. Las fracciones III, IV y VI del artículo 53 dicen literalmente «los Avisos». El incumplimiento relativo a los Informes entra por la fracción II —incumplir cualquier obligación del artículo 18, cuya fracción VI ordena presentar «los Avisos e Informes»— y se sanciona en el escalón bajo.</t>
  </si>
  <si>
    <t xml:space="preserve">Una antinomia que conviene conocer. El segundo párrafo de la fracción III del artículo 53 remite, para la extemporaneidad de más de treinta días, a «la sanción prevista para el caso de omisión en el artículo 54, fracción II». Pero la fracción II del 54 sanciona el supuesto de la fracción V del 53, mientras que la omisión de Avisos es la fracción VI y su multa está en la fracción III del 54. No hay criterio publicado que resuelva el conflicto. Para efectos de cumplimiento conviene planear sobre el supuesto más gravoso; para efectos de defensa, la lectura literal favorece al sujeto obligado y corresponde valorarla a quien lleve el asunto.</t>
  </si>
  <si>
    <t xml:space="preserve">La individualización no está en el artículo 54, sino en el 60: la Secretaría toma en cuenta la reincidencia y las acciones correctivas aplicadas, la cuantía del acto u operación procurando la proporcionalidad de la sanción, y la intención de realizar la conducta.</t>
  </si>
  <si>
    <t xml:space="preserve">Este libro proyecta importes; no predice el monto que la autoridad determinará. Las multas tienen el carácter de créditos fiscales y se fijan en cantidad líquida (artículo 52, último párrafo).</t>
  </si>
  <si>
    <t xml:space="preserve">Material de análisis y capacitación. No es asesoría legal ni interpretación oficial y no sustituye el criterio de la autoridad competente. Ley Federal para la Prevención e Identificación de Operaciones con Recursos de Procedencia Ilícita, reformada el 16 de julio de 2025. GMC360 · 360Educa · 25 de agosto de 2026.</t>
  </si>
  <si>
    <t xml:space="preserve">Ejemplo de lectura</t>
  </si>
  <si>
    <t xml:space="preserve">Caso</t>
  </si>
  <si>
    <t xml:space="preserve">Una inmobiliaria omitió el Aviso de una operación de $12,000,000.00</t>
  </si>
  <si>
    <t xml:space="preserve">Supuesto</t>
  </si>
  <si>
    <t xml:space="preserve">Artículo 53, fracción VI — omitir presentar los Avisos del artículo 17</t>
  </si>
  <si>
    <t xml:space="preserve">Multa</t>
  </si>
  <si>
    <t xml:space="preserve">Artículo 54, fracción III</t>
  </si>
  <si>
    <t xml:space="preserve">Alternativa en UMA</t>
  </si>
  <si>
    <t xml:space="preserve">De 10,000 a 65,000 veces el valor diario</t>
  </si>
  <si>
    <t xml:space="preserve">Alternativa en porcentaje</t>
  </si>
  <si>
    <t xml:space="preserve">Del 10% al 100% del valor del acto u operación</t>
  </si>
  <si>
    <t xml:space="preserve">Lo que se aplica</t>
  </si>
  <si>
    <t xml:space="preserve">La que resulte mayor</t>
  </si>
  <si>
    <t xml:space="preserve">Punto de cruce</t>
  </si>
  <si>
    <t xml:space="preserve">El techo en UMA equivale a 65,000 × el valor diario. Por debajo de esa cifra gana la UMA; por encima, el porcentaje</t>
  </si>
  <si>
    <t xml:space="preserve">Para contrastar</t>
  </si>
  <si>
    <t xml:space="preserve">No integrar el expediente de identificación es incumplimiento del artículo 18 → artículo 53, fracción II → artículo 54, fracción I</t>
  </si>
  <si>
    <t xml:space="preserve">Dos conclusiones. La primera: el régimen castiga mucho más caro omitir el Aviso que no tener el expediente, y varias tablas que circulan en el sector tienen invertidos esos dos extremos. La segunda, que casi nadie dice: la alternativa del diez al cien por ciento no siempre es la que se aplica. Por debajo del punto de cruce manda la UMA. Conviene calcularlo antes de afirmar cuánto cuesta una omisión.</t>
  </si>
</sst>
</file>

<file path=xl/styles.xml><?xml version="1.0" encoding="utf-8"?>
<styleSheet xmlns="http://schemas.openxmlformats.org/spreadsheetml/2006/main">
  <numFmts count="4">
    <numFmt numFmtId="164" formatCode="General"/>
    <numFmt numFmtId="165" formatCode="\$#,##0.00"/>
    <numFmt numFmtId="166" formatCode="#,##0"/>
    <numFmt numFmtId="167" formatCode="@"/>
  </numFmts>
  <fonts count="19">
    <font>
      <sz val="11"/>
      <color theme="1"/>
      <name val="Calibri"/>
      <family val="2"/>
      <charset val="1"/>
    </font>
    <font>
      <sz val="10"/>
      <name val="Arial"/>
      <family val="0"/>
    </font>
    <font>
      <sz val="10"/>
      <name val="Arial"/>
      <family val="0"/>
    </font>
    <font>
      <sz val="10"/>
      <name val="Arial"/>
      <family val="0"/>
    </font>
    <font>
      <b val="true"/>
      <sz val="16"/>
      <color rgb="FF14395E"/>
      <name val="Arial"/>
      <family val="0"/>
      <charset val="1"/>
    </font>
    <font>
      <sz val="10"/>
      <color rgb="FF555555"/>
      <name val="Arial"/>
      <family val="0"/>
      <charset val="1"/>
    </font>
    <font>
      <i val="true"/>
      <sz val="10"/>
      <color rgb="FF555555"/>
      <name val="Arial"/>
      <family val="0"/>
      <charset val="1"/>
    </font>
    <font>
      <b val="true"/>
      <sz val="11"/>
      <color rgb="FF14395E"/>
      <name val="Arial"/>
      <family val="0"/>
      <charset val="1"/>
    </font>
    <font>
      <b val="true"/>
      <sz val="11"/>
      <color rgb="FF0000FF"/>
      <name val="Arial"/>
      <family val="0"/>
      <charset val="1"/>
    </font>
    <font>
      <i val="true"/>
      <sz val="9"/>
      <color rgb="FF555555"/>
      <name val="Arial"/>
      <family val="0"/>
      <charset val="1"/>
    </font>
    <font>
      <b val="true"/>
      <sz val="10"/>
      <color rgb="FFB00020"/>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333333"/>
      <name val="Arial"/>
      <family val="0"/>
      <charset val="1"/>
    </font>
    <font>
      <i val="true"/>
      <sz val="9"/>
      <color rgb="FF777777"/>
      <name val="Arial"/>
      <family val="0"/>
      <charset val="1"/>
    </font>
    <font>
      <b val="true"/>
      <sz val="14"/>
      <color rgb="FF14395E"/>
      <name val="Arial"/>
      <family val="0"/>
      <charset val="1"/>
    </font>
    <font>
      <b val="true"/>
      <sz val="10"/>
      <color rgb="FF14395E"/>
      <name val="Arial"/>
      <family val="0"/>
      <charset val="1"/>
    </font>
    <font>
      <i val="true"/>
      <sz val="10"/>
      <color rgb="FF333333"/>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4395E"/>
        <bgColor rgb="FF333333"/>
      </patternFill>
    </fill>
    <fill>
      <patternFill patternType="solid">
        <fgColor rgb="FFF2F4F7"/>
        <bgColor rgb="FFFFFFFF"/>
      </patternFill>
    </fill>
  </fills>
  <borders count="2">
    <border diagonalUp="false" diagonalDown="false">
      <left/>
      <right/>
      <top/>
      <bottom/>
      <diagonal/>
    </border>
    <border diagonalUp="false" diagonalDown="false">
      <left style="thin">
        <color rgb="FFC9CFD6"/>
      </left>
      <right style="thin">
        <color rgb="FFC9CFD6"/>
      </right>
      <top style="thin">
        <color rgb="FFC9CFD6"/>
      </top>
      <bottom style="thin">
        <color rgb="FFC9C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center" textRotation="0" wrapText="tru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6" fontId="13" fillId="0" borderId="1" xfId="0" applyFont="true" applyBorder="true" applyAlignment="true" applyProtection="true">
      <alignment horizontal="general" vertical="top" textRotation="0" wrapText="true" indent="0" shrinkToFit="false"/>
      <protection locked="true" hidden="false"/>
    </xf>
    <xf numFmtId="165" fontId="13" fillId="0" borderId="1" xfId="0" applyFont="true" applyBorder="true" applyAlignment="true" applyProtection="true">
      <alignment horizontal="general" vertical="top" textRotation="0" wrapText="true" indent="0" shrinkToFit="false"/>
      <protection locked="true" hidden="false"/>
    </xf>
    <xf numFmtId="164" fontId="12" fillId="4" borderId="1" xfId="0" applyFont="true" applyBorder="true" applyAlignment="true" applyProtection="true">
      <alignment horizontal="general" vertical="top" textRotation="0" wrapText="true" indent="0" shrinkToFit="false"/>
      <protection locked="true" hidden="false"/>
    </xf>
    <xf numFmtId="164" fontId="13" fillId="4" borderId="1" xfId="0" applyFont="true" applyBorder="true" applyAlignment="true" applyProtection="true">
      <alignment horizontal="general" vertical="top" textRotation="0" wrapText="true" indent="0" shrinkToFit="false"/>
      <protection locked="true" hidden="false"/>
    </xf>
    <xf numFmtId="166" fontId="13" fillId="4" borderId="1" xfId="0" applyFont="true" applyBorder="true" applyAlignment="true" applyProtection="true">
      <alignment horizontal="general" vertical="top" textRotation="0" wrapText="true" indent="0" shrinkToFit="false"/>
      <protection locked="true" hidden="false"/>
    </xf>
    <xf numFmtId="165" fontId="13" fillId="4" borderId="1" xfId="0" applyFont="true" applyBorder="true" applyAlignment="true" applyProtection="true">
      <alignment horizontal="general" vertical="top" textRotation="0" wrapText="true" indent="0" shrinkToFit="false"/>
      <protection locked="true" hidden="false"/>
    </xf>
    <xf numFmtId="167" fontId="13" fillId="0" borderId="1" xfId="0" applyFont="true" applyBorder="true" applyAlignment="true" applyProtection="true">
      <alignment horizontal="general" vertical="top" textRotation="0" wrapText="true" indent="0" shrinkToFit="false"/>
      <protection locked="true" hidden="false"/>
    </xf>
    <xf numFmtId="167" fontId="13" fillId="4" borderId="1" xfId="0" applyFont="true" applyBorder="tru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tru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C0C0C0"/>
      <rgbColor rgb="FF777777"/>
      <rgbColor rgb="FF9999FF"/>
      <rgbColor rgb="FF993366"/>
      <rgbColor rgb="FFF2F4F7"/>
      <rgbColor rgb="FFCCFFFF"/>
      <rgbColor rgb="FF660066"/>
      <rgbColor rgb="FFFF8080"/>
      <rgbColor rgb="FF0066CC"/>
      <rgbColor rgb="FFC9CF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439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2"/>
    <col collapsed="false" customWidth="true" hidden="false" outlineLevel="0" max="3" min="3" style="1" width="12"/>
    <col collapsed="false" customWidth="true" hidden="false" outlineLevel="0" max="5" min="4" style="1" width="11"/>
    <col collapsed="false" customWidth="true" hidden="false" outlineLevel="0" max="7" min="6" style="1" width="16"/>
    <col collapsed="false" customWidth="true" hidden="false" outlineLevel="0" max="8" min="8" style="1" width="26"/>
    <col collapsed="false" customWidth="true" hidden="false" outlineLevel="0" max="9" min="9" style="1" width="30"/>
  </cols>
  <sheetData>
    <row r="1" customFormat="false" ht="19.7"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5" customFormat="false" ht="15" hidden="false" customHeight="false" outlineLevel="0" collapsed="false">
      <c r="A5" s="5" t="s">
        <v>3</v>
      </c>
    </row>
    <row r="6" customFormat="false" ht="15" hidden="false" customHeight="false" outlineLevel="0" collapsed="false">
      <c r="A6" s="1" t="s">
        <v>4</v>
      </c>
      <c r="B6" s="6" t="n">
        <v>117.31</v>
      </c>
      <c r="C6" s="7" t="s">
        <v>5</v>
      </c>
    </row>
    <row r="7" customFormat="false" ht="15" hidden="false" customHeight="false" outlineLevel="0" collapsed="false">
      <c r="A7" s="1" t="s">
        <v>6</v>
      </c>
      <c r="B7" s="6" t="n">
        <v>12000000</v>
      </c>
      <c r="C7" s="7" t="s">
        <v>7</v>
      </c>
    </row>
    <row r="8" customFormat="false" ht="15" hidden="false" customHeight="false" outlineLevel="0" collapsed="false">
      <c r="A8" s="1" t="s">
        <v>8</v>
      </c>
      <c r="B8" s="8" t="n">
        <v>1</v>
      </c>
      <c r="C8" s="7" t="s">
        <v>9</v>
      </c>
    </row>
    <row r="9" customFormat="false" ht="15" hidden="false" customHeight="false" outlineLevel="0" collapsed="false">
      <c r="A9" s="9" t="s">
        <v>10</v>
      </c>
      <c r="B9" s="10" t="n">
        <f aca="false">65000*$B$6</f>
        <v>7625150</v>
      </c>
      <c r="C9" s="7" t="s">
        <v>11</v>
      </c>
    </row>
    <row r="10" customFormat="false" ht="42" hidden="false" customHeight="true" outlineLevel="0" collapsed="false">
      <c r="A10" s="11" t="s">
        <v>12</v>
      </c>
      <c r="B10" s="11" t="s">
        <v>13</v>
      </c>
      <c r="C10" s="11" t="s">
        <v>14</v>
      </c>
      <c r="D10" s="11" t="s">
        <v>15</v>
      </c>
      <c r="E10" s="11" t="s">
        <v>16</v>
      </c>
      <c r="F10" s="11" t="s">
        <v>17</v>
      </c>
      <c r="G10" s="11" t="s">
        <v>18</v>
      </c>
      <c r="H10" s="11" t="s">
        <v>19</v>
      </c>
      <c r="I10" s="11" t="s">
        <v>20</v>
      </c>
    </row>
    <row r="11" customFormat="false" ht="54" hidden="false" customHeight="true" outlineLevel="0" collapsed="false">
      <c r="A11" s="12" t="s">
        <v>21</v>
      </c>
      <c r="B11" s="13" t="s">
        <v>22</v>
      </c>
      <c r="C11" s="12" t="s">
        <v>23</v>
      </c>
      <c r="D11" s="14" t="n">
        <v>200</v>
      </c>
      <c r="E11" s="14" t="n">
        <v>2000</v>
      </c>
      <c r="F11" s="15" t="n">
        <f aca="false">D11*$B$6*$B$8</f>
        <v>23462</v>
      </c>
      <c r="G11" s="15" t="n">
        <f aca="false">E11*$B$6*$B$8</f>
        <v>234620</v>
      </c>
      <c r="H11" s="13" t="s">
        <v>24</v>
      </c>
      <c r="I11" s="12" t="str">
        <f aca="false">TEXT(D11*$B$6*$B$8,"$#,##0.00")&amp;"  a  "&amp;TEXT(E11*$B$6*$B$8,"$#,##0.00")</f>
        <v>$23,462.00  a  $234,620.00</v>
      </c>
    </row>
    <row r="12" customFormat="false" ht="54" hidden="false" customHeight="true" outlineLevel="0" collapsed="false">
      <c r="A12" s="16" t="s">
        <v>25</v>
      </c>
      <c r="B12" s="17" t="s">
        <v>26</v>
      </c>
      <c r="C12" s="16" t="s">
        <v>23</v>
      </c>
      <c r="D12" s="18" t="n">
        <v>200</v>
      </c>
      <c r="E12" s="18" t="n">
        <v>2000</v>
      </c>
      <c r="F12" s="19" t="n">
        <f aca="false">D12*$B$6*$B$8</f>
        <v>23462</v>
      </c>
      <c r="G12" s="19" t="n">
        <f aca="false">E12*$B$6*$B$8</f>
        <v>234620</v>
      </c>
      <c r="H12" s="17" t="s">
        <v>24</v>
      </c>
      <c r="I12" s="16" t="str">
        <f aca="false">TEXT(D12*$B$6*$B$8,"$#,##0.00")&amp;"  a  "&amp;TEXT(E12*$B$6*$B$8,"$#,##0.00")</f>
        <v>$23,462.00  a  $234,620.00</v>
      </c>
    </row>
    <row r="13" customFormat="false" ht="54" hidden="false" customHeight="true" outlineLevel="0" collapsed="false">
      <c r="A13" s="12" t="s">
        <v>27</v>
      </c>
      <c r="B13" s="13" t="s">
        <v>28</v>
      </c>
      <c r="C13" s="12" t="s">
        <v>23</v>
      </c>
      <c r="D13" s="14" t="n">
        <v>200</v>
      </c>
      <c r="E13" s="14" t="n">
        <v>2000</v>
      </c>
      <c r="F13" s="15" t="n">
        <f aca="false">D13*$B$6*$B$8</f>
        <v>23462</v>
      </c>
      <c r="G13" s="15" t="n">
        <f aca="false">E13*$B$6*$B$8</f>
        <v>234620</v>
      </c>
      <c r="H13" s="13" t="s">
        <v>24</v>
      </c>
      <c r="I13" s="12" t="str">
        <f aca="false">TEXT(D13*$B$6*$B$8,"$#,##0.00")&amp;"  a  "&amp;TEXT(E13*$B$6*$B$8,"$#,##0.00")</f>
        <v>$23,462.00  a  $234,620.00</v>
      </c>
    </row>
    <row r="14" customFormat="false" ht="54" hidden="false" customHeight="true" outlineLevel="0" collapsed="false">
      <c r="A14" s="16" t="s">
        <v>29</v>
      </c>
      <c r="B14" s="17" t="s">
        <v>30</v>
      </c>
      <c r="C14" s="16" t="s">
        <v>31</v>
      </c>
      <c r="D14" s="18" t="n">
        <v>2000</v>
      </c>
      <c r="E14" s="18" t="n">
        <v>10000</v>
      </c>
      <c r="F14" s="19" t="n">
        <f aca="false">D14*$B$6*$B$8</f>
        <v>234620</v>
      </c>
      <c r="G14" s="19" t="n">
        <f aca="false">E14*$B$6*$B$8</f>
        <v>1173100</v>
      </c>
      <c r="H14" s="17" t="s">
        <v>24</v>
      </c>
      <c r="I14" s="16" t="str">
        <f aca="false">TEXT(D14*$B$6*$B$8,"$#,##0.00")&amp;"  a  "&amp;TEXT(E14*$B$6*$B$8,"$#,##0.00")</f>
        <v>$234,620.00  a  $1,173,100.00</v>
      </c>
    </row>
    <row r="15" customFormat="false" ht="54" hidden="false" customHeight="true" outlineLevel="0" collapsed="false">
      <c r="A15" s="12" t="s">
        <v>32</v>
      </c>
      <c r="B15" s="13" t="s">
        <v>33</v>
      </c>
      <c r="C15" s="12" t="s">
        <v>23</v>
      </c>
      <c r="D15" s="14" t="n">
        <v>200</v>
      </c>
      <c r="E15" s="14" t="n">
        <v>2000</v>
      </c>
      <c r="F15" s="15" t="n">
        <f aca="false">D15*$B$6*$B$8</f>
        <v>23462</v>
      </c>
      <c r="G15" s="15" t="n">
        <f aca="false">E15*$B$6*$B$8</f>
        <v>234620</v>
      </c>
      <c r="H15" s="13" t="s">
        <v>24</v>
      </c>
      <c r="I15" s="12" t="str">
        <f aca="false">TEXT(D15*$B$6*$B$8,"$#,##0.00")&amp;"  a  "&amp;TEXT(E15*$B$6*$B$8,"$#,##0.00")</f>
        <v>$23,462.00  a  $234,620.00</v>
      </c>
    </row>
    <row r="16" customFormat="false" ht="54" hidden="false" customHeight="true" outlineLevel="0" collapsed="false">
      <c r="A16" s="16" t="s">
        <v>34</v>
      </c>
      <c r="B16" s="17" t="s">
        <v>35</v>
      </c>
      <c r="C16" s="16" t="s">
        <v>31</v>
      </c>
      <c r="D16" s="18" t="n">
        <v>2000</v>
      </c>
      <c r="E16" s="18" t="n">
        <v>10000</v>
      </c>
      <c r="F16" s="19" t="n">
        <f aca="false">D16*$B$6*$B$8</f>
        <v>234620</v>
      </c>
      <c r="G16" s="19" t="n">
        <f aca="false">E16*$B$6*$B$8</f>
        <v>1173100</v>
      </c>
      <c r="H16" s="17" t="s">
        <v>24</v>
      </c>
      <c r="I16" s="16" t="str">
        <f aca="false">TEXT(D16*$B$6*$B$8,"$#,##0.00")&amp;"  a  "&amp;TEXT(E16*$B$6*$B$8,"$#,##0.00")</f>
        <v>$234,620.00  a  $1,173,100.00</v>
      </c>
    </row>
    <row r="17" customFormat="false" ht="54" hidden="false" customHeight="true" outlineLevel="0" collapsed="false">
      <c r="A17" s="12" t="s">
        <v>36</v>
      </c>
      <c r="B17" s="13" t="s">
        <v>37</v>
      </c>
      <c r="C17" s="12" t="s">
        <v>38</v>
      </c>
      <c r="D17" s="14" t="n">
        <v>10000</v>
      </c>
      <c r="E17" s="14" t="n">
        <v>65000</v>
      </c>
      <c r="F17" s="15" t="n">
        <f aca="false">D17*$B$6*$B$8</f>
        <v>1173100</v>
      </c>
      <c r="G17" s="15" t="n">
        <f aca="false">E17*$B$6*$B$8</f>
        <v>7625150</v>
      </c>
      <c r="H17" s="20" t="str">
        <f aca="false">TEXT($B$7*0.1*$B$8,"$#,##0.00")&amp;"  a  "&amp;TEXT($B$7*$B$8,"$#,##0.00")</f>
        <v>$1,200,000.00  a  $12,000,000.00</v>
      </c>
      <c r="I17" s="12" t="str">
        <f aca="false">IF($B$7*$B$8&gt;E17*$B$6*$B$8,"Gana el porcentaje: hasta "&amp;TEXT($B$7*$B$8,"$#,##0.00"),"Gana la UMA: hasta "&amp;TEXT(E17*$B$6*$B$8,"$#,##0.00"))</f>
        <v>Gana el porcentaje: hasta $12,000,000.00</v>
      </c>
    </row>
    <row r="18" customFormat="false" ht="54" hidden="false" customHeight="true" outlineLevel="0" collapsed="false">
      <c r="A18" s="16" t="s">
        <v>39</v>
      </c>
      <c r="B18" s="17" t="s">
        <v>40</v>
      </c>
      <c r="C18" s="16" t="s">
        <v>38</v>
      </c>
      <c r="D18" s="18" t="n">
        <v>10000</v>
      </c>
      <c r="E18" s="18" t="n">
        <v>65000</v>
      </c>
      <c r="F18" s="19" t="n">
        <f aca="false">D18*$B$6*$B$8</f>
        <v>1173100</v>
      </c>
      <c r="G18" s="19" t="n">
        <f aca="false">E18*$B$6*$B$8</f>
        <v>7625150</v>
      </c>
      <c r="H18" s="21" t="str">
        <f aca="false">TEXT($B$7*0.1*$B$8,"$#,##0.00")&amp;"  a  "&amp;TEXT($B$7*$B$8,"$#,##0.00")</f>
        <v>$1,200,000.00  a  $12,000,000.00</v>
      </c>
      <c r="I18" s="16" t="str">
        <f aca="false">IF($B$7*$B$8&gt;E18*$B$6*$B$8,"Gana el porcentaje: hasta "&amp;TEXT($B$7*$B$8,"$#,##0.00"),"Gana la UMA: hasta "&amp;TEXT(E18*$B$6*$B$8,"$#,##0.00"))</f>
        <v>Gana el porcentaje: hasta $12,000,000.00</v>
      </c>
    </row>
    <row r="20" customFormat="false" ht="15" hidden="false" customHeight="false" outlineLevel="0" collapsed="false">
      <c r="A20" s="22"/>
      <c r="B20" s="22"/>
      <c r="C20" s="22"/>
      <c r="D20" s="22"/>
      <c r="E20" s="22"/>
      <c r="F20" s="22"/>
      <c r="G20" s="22"/>
      <c r="H20" s="22"/>
      <c r="I20" s="22"/>
    </row>
    <row r="21" customFormat="false" ht="15" hidden="false" customHeight="true" outlineLevel="0" collapsed="false">
      <c r="A21" s="23" t="s">
        <v>41</v>
      </c>
      <c r="B21" s="23"/>
      <c r="C21" s="23"/>
      <c r="D21" s="23"/>
      <c r="E21" s="23"/>
      <c r="F21" s="23"/>
      <c r="G21" s="23"/>
      <c r="H21" s="23"/>
      <c r="I21" s="23"/>
    </row>
    <row r="22" customFormat="false" ht="27.75" hidden="false" customHeight="true" outlineLevel="0" collapsed="false">
      <c r="A22" s="22" t="s">
        <v>42</v>
      </c>
      <c r="B22" s="22"/>
      <c r="C22" s="22"/>
      <c r="D22" s="22"/>
      <c r="E22" s="22"/>
      <c r="F22" s="22"/>
      <c r="G22" s="22"/>
      <c r="H22" s="22"/>
      <c r="I22" s="22"/>
    </row>
    <row r="23" customFormat="false" ht="42" hidden="false" customHeight="true" outlineLevel="0" collapsed="false">
      <c r="A23" s="22" t="s">
        <v>43</v>
      </c>
      <c r="B23" s="22"/>
      <c r="C23" s="22"/>
      <c r="D23" s="22"/>
      <c r="E23" s="22"/>
      <c r="F23" s="22"/>
      <c r="G23" s="22"/>
      <c r="H23" s="22"/>
      <c r="I23" s="22"/>
    </row>
    <row r="24" customFormat="false" ht="42" hidden="false" customHeight="true" outlineLevel="0" collapsed="false">
      <c r="A24" s="22" t="s">
        <v>44</v>
      </c>
      <c r="B24" s="22"/>
      <c r="C24" s="22"/>
      <c r="D24" s="22"/>
      <c r="E24" s="22"/>
      <c r="F24" s="22"/>
      <c r="G24" s="22"/>
      <c r="H24" s="22"/>
      <c r="I24" s="22"/>
    </row>
    <row r="25" customFormat="false" ht="69.75" hidden="false" customHeight="true" outlineLevel="0" collapsed="false">
      <c r="A25" s="22" t="s">
        <v>45</v>
      </c>
      <c r="B25" s="22"/>
      <c r="C25" s="22"/>
      <c r="D25" s="22"/>
      <c r="E25" s="22"/>
      <c r="F25" s="22"/>
      <c r="G25" s="22"/>
      <c r="H25" s="22"/>
      <c r="I25" s="22"/>
    </row>
    <row r="26" customFormat="false" ht="27.75" hidden="false" customHeight="true" outlineLevel="0" collapsed="false">
      <c r="A26" s="22" t="s">
        <v>46</v>
      </c>
      <c r="B26" s="22"/>
      <c r="C26" s="22"/>
      <c r="D26" s="22"/>
      <c r="E26" s="22"/>
      <c r="F26" s="22"/>
      <c r="G26" s="22"/>
      <c r="H26" s="22"/>
      <c r="I26" s="22"/>
    </row>
    <row r="27" customFormat="false" ht="27.75" hidden="false" customHeight="true" outlineLevel="0" collapsed="false">
      <c r="A27" s="22" t="s">
        <v>47</v>
      </c>
      <c r="B27" s="22"/>
      <c r="C27" s="22"/>
      <c r="D27" s="22"/>
      <c r="E27" s="22"/>
      <c r="F27" s="22"/>
      <c r="G27" s="22"/>
      <c r="H27" s="22"/>
      <c r="I27" s="22"/>
    </row>
    <row r="29" customFormat="false" ht="22.35" hidden="false" customHeight="true" outlineLevel="0" collapsed="false">
      <c r="A29" s="24" t="s">
        <v>48</v>
      </c>
      <c r="B29" s="24"/>
      <c r="C29" s="24"/>
      <c r="D29" s="24"/>
      <c r="E29" s="24"/>
      <c r="F29" s="24"/>
      <c r="G29" s="24"/>
      <c r="H29" s="24"/>
      <c r="I29" s="24"/>
    </row>
  </sheetData>
  <mergeCells count="9">
    <mergeCell ref="A20:I20"/>
    <mergeCell ref="A21:I21"/>
    <mergeCell ref="A22:I22"/>
    <mergeCell ref="A23:I23"/>
    <mergeCell ref="A24:I24"/>
    <mergeCell ref="A25:I25"/>
    <mergeCell ref="A26:I26"/>
    <mergeCell ref="A27:I27"/>
    <mergeCell ref="A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2"/>
    <col collapsed="false" customWidth="true" hidden="false" outlineLevel="0" max="3" min="3" style="1" width="42"/>
  </cols>
  <sheetData>
    <row r="1" customFormat="false" ht="17.35" hidden="false" customHeight="false" outlineLevel="0" collapsed="false">
      <c r="A1" s="25" t="s">
        <v>49</v>
      </c>
    </row>
    <row r="3" customFormat="false" ht="31.5" hidden="false" customHeight="true" outlineLevel="0" collapsed="false">
      <c r="A3" s="26"/>
      <c r="B3" s="27"/>
    </row>
    <row r="4" customFormat="false" ht="31.5" hidden="false" customHeight="true" outlineLevel="0" collapsed="false">
      <c r="A4" s="26" t="s">
        <v>50</v>
      </c>
      <c r="B4" s="27" t="s">
        <v>51</v>
      </c>
    </row>
    <row r="5" customFormat="false" ht="31.5" hidden="false" customHeight="true" outlineLevel="0" collapsed="false">
      <c r="A5" s="26" t="s">
        <v>52</v>
      </c>
      <c r="B5" s="27" t="s">
        <v>53</v>
      </c>
    </row>
    <row r="6" customFormat="false" ht="31.5" hidden="false" customHeight="true" outlineLevel="0" collapsed="false">
      <c r="A6" s="26" t="s">
        <v>54</v>
      </c>
      <c r="B6" s="27" t="s">
        <v>55</v>
      </c>
    </row>
    <row r="7" customFormat="false" ht="31.5" hidden="false" customHeight="true" outlineLevel="0" collapsed="false">
      <c r="A7" s="26" t="s">
        <v>56</v>
      </c>
      <c r="B7" s="27" t="s">
        <v>57</v>
      </c>
      <c r="C7" s="28" t="str">
        <f aca="false">TEXT(10000*Calculadora!$B$6,"$#,##0.00")&amp;"  a  "&amp;TEXT(65000*Calculadora!$B$6,"$#,##0.00")</f>
        <v>$1,173,100.00  a  $7,625,150.00</v>
      </c>
    </row>
    <row r="8" customFormat="false" ht="31.5" hidden="false" customHeight="true" outlineLevel="0" collapsed="false">
      <c r="A8" s="26" t="s">
        <v>58</v>
      </c>
      <c r="B8" s="27" t="s">
        <v>59</v>
      </c>
      <c r="C8" s="28" t="str">
        <f aca="false">TEXT(12000000*0.1,"$#,##0.00")&amp;"  a  "&amp;TEXT(12000000,"$#,##0.00")</f>
        <v>$1,200,000.00  a  $12,000,000.00</v>
      </c>
    </row>
    <row r="9" customFormat="false" ht="31.5" hidden="false" customHeight="true" outlineLevel="0" collapsed="false">
      <c r="A9" s="26" t="s">
        <v>60</v>
      </c>
      <c r="B9" s="27" t="s">
        <v>61</v>
      </c>
      <c r="C9" s="28" t="str">
        <f aca="false">IF(12000000&gt;65000*Calculadora!$B$6,"El porcentaje: hasta "&amp;TEXT(12000000,"$#,##0.00"),"La UMA: hasta "&amp;TEXT(65000*Calculadora!$B$6,"$#,##0.00"))</f>
        <v>El porcentaje: hasta $12,000,000.00</v>
      </c>
    </row>
    <row r="10" customFormat="false" ht="31.5" hidden="false" customHeight="true" outlineLevel="0" collapsed="false">
      <c r="A10" s="26"/>
      <c r="B10" s="27"/>
    </row>
    <row r="11" customFormat="false" ht="31.5" hidden="false" customHeight="true" outlineLevel="0" collapsed="false">
      <c r="A11" s="26" t="s">
        <v>62</v>
      </c>
      <c r="B11" s="27" t="s">
        <v>63</v>
      </c>
      <c r="C11" s="28" t="str">
        <f aca="false">TEXT(65000*Calculadora!$B$6,"$#,##0.00")</f>
        <v>$7,625,150.00</v>
      </c>
    </row>
    <row r="12" customFormat="false" ht="31.5" hidden="false" customHeight="true" outlineLevel="0" collapsed="false">
      <c r="A12" s="26"/>
      <c r="B12" s="27"/>
    </row>
    <row r="13" customFormat="false" ht="31.5" hidden="false" customHeight="true" outlineLevel="0" collapsed="false">
      <c r="A13" s="26" t="s">
        <v>64</v>
      </c>
      <c r="B13" s="27" t="s">
        <v>65</v>
      </c>
      <c r="C13" s="28" t="str">
        <f aca="false">TEXT(200*Calculadora!$B$6,"$#,##0.00")&amp;"  a  "&amp;TEXT(2000*Calculadora!$B$6,"$#,##0.00")</f>
        <v>$23,462.00  a  $234,620.00</v>
      </c>
    </row>
    <row r="15" customFormat="false" ht="35.05" hidden="false" customHeight="true" outlineLevel="0" collapsed="false">
      <c r="A15" s="29" t="s">
        <v>66</v>
      </c>
      <c r="B15" s="29"/>
      <c r="C15" s="29"/>
    </row>
  </sheetData>
  <mergeCells count="1">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2026-08-25T04:29:58Z</dcterms:created>
  <dc:creator>openpyxl</dc:creator>
  <dc:description/>
  <dc:language>en-US</dc:language>
  <cp:lastModifiedBy/>
  <dcterms:modified xsi:type="dcterms:W3CDTF">2026-08-25T04:29:58Z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